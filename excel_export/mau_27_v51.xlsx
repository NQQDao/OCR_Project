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orkspace\OCR_Project\excel_export\"/>
    </mc:Choice>
  </mc:AlternateContent>
  <xr:revisionPtr revIDLastSave="0" documentId="13_ncr:1_{914CB76F-1ADE-4EBB-88A3-EC82DD13B3D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HI_TIET" sheetId="1" r:id="rId1"/>
    <sheet name="TONG_HOP" sheetId="2" r:id="rId2"/>
    <sheet name="THEO_NGAY" sheetId="3" r:id="rId3"/>
    <sheet name="CANH_BAO" sheetId="4" r:id="rId4"/>
    <sheet name="THONG_KE" sheetId="5" r:id="rId5"/>
  </sheets>
  <definedNames>
    <definedName name="_xlnm._FilterDatabase" localSheetId="0" hidden="1">CHI_TIET!$A$1:$V$13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L14" i="1"/>
  <c r="K14" i="1"/>
  <c r="B7" i="5"/>
  <c r="B6" i="5"/>
  <c r="B5" i="5"/>
  <c r="E5" i="3"/>
  <c r="D5" i="3"/>
  <c r="C5" i="3"/>
  <c r="B5" i="3"/>
  <c r="B10" i="2"/>
  <c r="B9" i="2"/>
  <c r="B8" i="2"/>
  <c r="Q14" i="1"/>
  <c r="P14" i="1"/>
  <c r="O14" i="1"/>
  <c r="M14" i="1"/>
</calcChain>
</file>

<file path=xl/sharedStrings.xml><?xml version="1.0" encoding="utf-8"?>
<sst xmlns="http://schemas.openxmlformats.org/spreadsheetml/2006/main" count="194" uniqueCount="90">
  <si>
    <t>File JSON</t>
  </si>
  <si>
    <t>Loại phiếu</t>
  </si>
  <si>
    <t>Số xe</t>
  </si>
  <si>
    <t>Ngày xe</t>
  </si>
  <si>
    <t>Kích thước gỗ tròn</t>
  </si>
  <si>
    <t>Khối lượng gỗ tròn</t>
  </si>
  <si>
    <t>Kích thước xe</t>
  </si>
  <si>
    <t>Dòng</t>
  </si>
  <si>
    <t>Ngày</t>
  </si>
  <si>
    <t>Dài (cm)</t>
  </si>
  <si>
    <t>Rộng (cm)</t>
  </si>
  <si>
    <t>Dày (cm)</t>
  </si>
  <si>
    <t>SL</t>
  </si>
  <si>
    <t>Kích thước gốc OCR</t>
  </si>
  <si>
    <t>Khối lượng ghi (m3)</t>
  </si>
  <si>
    <t>Khối lượng tính (m3)</t>
  </si>
  <si>
    <t>Chênh lệch (m3)</t>
  </si>
  <si>
    <t>Trạng thái KL</t>
  </si>
  <si>
    <t>Công trình</t>
  </si>
  <si>
    <t>STT cấu kiện</t>
  </si>
  <si>
    <t>Tên cấu kiện</t>
  </si>
  <si>
    <t>Ghi chú</t>
  </si>
  <si>
    <t>mau_27_v51.json</t>
  </si>
  <si>
    <t>624-R1236/1</t>
  </si>
  <si>
    <t>10.9 - V259 ĐOT: 10,96 - V259</t>
  </si>
  <si>
    <t>5.849</t>
  </si>
  <si>
    <t>5,2 còn 5,7 còn 3,2</t>
  </si>
  <si>
    <t>4/9/2026</t>
  </si>
  <si>
    <t>28 x 30 x 520 = 1</t>
  </si>
  <si>
    <t>OK</t>
  </si>
  <si>
    <t>úc lý (đổi)</t>
  </si>
  <si>
    <t>kéo</t>
  </si>
  <si>
    <t>25 x 25 x 400 = 2</t>
  </si>
  <si>
    <t>bùi xá tổ 14</t>
  </si>
  <si>
    <t>khóa giang</t>
  </si>
  <si>
    <t>25 x 25 x 120 = 2</t>
  </si>
  <si>
    <t>chùa đậu (SC)</t>
  </si>
  <si>
    <t>8</t>
  </si>
  <si>
    <t>con chồng</t>
  </si>
  <si>
    <t>12 x 15 x 300 = 3</t>
  </si>
  <si>
    <t>19</t>
  </si>
  <si>
    <t>XTH</t>
  </si>
  <si>
    <t>12 x 15 x 60 = 6</t>
  </si>
  <si>
    <t>20</t>
  </si>
  <si>
    <t>1,312 m3</t>
  </si>
  <si>
    <t>6/9/2026</t>
  </si>
  <si>
    <t>16 x 16 x 70 = 1</t>
  </si>
  <si>
    <t>bùi xá (tổ)</t>
  </si>
  <si>
    <t>xà hiên</t>
  </si>
  <si>
    <t>18 x 18 x 115 = 1</t>
  </si>
  <si>
    <t>cố ngoà (HL23)</t>
  </si>
  <si>
    <t>13</t>
  </si>
  <si>
    <t>xà hạ (PS)</t>
  </si>
  <si>
    <t>22 x 33 x 250 = 1</t>
  </si>
  <si>
    <t>klb</t>
  </si>
  <si>
    <t>0,235 m3</t>
  </si>
  <si>
    <t>7/9/2026</t>
  </si>
  <si>
    <t>18 x 18 x 320 = 5</t>
  </si>
  <si>
    <t>bùi xá (Mẫu)</t>
  </si>
  <si>
    <t>xà thượng</t>
  </si>
  <si>
    <t>11 x 13 x 320 = 1</t>
  </si>
  <si>
    <t>bùi xá (Tổ)</t>
  </si>
  <si>
    <t>4 x 20 x 320 = 1</t>
  </si>
  <si>
    <t>33</t>
  </si>
  <si>
    <t>lá mái</t>
  </si>
  <si>
    <t>4 x 15 x 320 = 7</t>
  </si>
  <si>
    <t>nga my (TP)</t>
  </si>
  <si>
    <t>ván cố</t>
  </si>
  <si>
    <t>0,722 m3; 2,269 m3</t>
  </si>
  <si>
    <t>TỔNG</t>
  </si>
  <si>
    <t>NỘI DUNG</t>
  </si>
  <si>
    <t>GIÁ TRỊ</t>
  </si>
  <si>
    <t>Số dòng chi tiết</t>
  </si>
  <si>
    <t>TỔNG KHỐI LƯỢNG GHI (m3)</t>
  </si>
  <si>
    <t>TỔNG KHỐI LƯỢNG TÍNH (m3)</t>
  </si>
  <si>
    <t>TỔNG CHÊNH LỆCH (m3)</t>
  </si>
  <si>
    <t>Tổng SL</t>
  </si>
  <si>
    <t>Kích thước OCR</t>
  </si>
  <si>
    <t>Khối lượng ghi</t>
  </si>
  <si>
    <t>Khối lượng tính</t>
  </si>
  <si>
    <t>Chênh lệch</t>
  </si>
  <si>
    <t>Trạng thái</t>
  </si>
  <si>
    <t>KHÔNG CÓ CẢNH BÁO</t>
  </si>
  <si>
    <t>THỐNG KÊ</t>
  </si>
  <si>
    <t>Tổng số dòng</t>
  </si>
  <si>
    <t>Số dòng OK</t>
  </si>
  <si>
    <t>Số dòng cần kiểm tra</t>
  </si>
  <si>
    <t>Tổng khối lượng ghi (m3)</t>
  </si>
  <si>
    <t>Tổng khối lượng tính (m3)</t>
  </si>
  <si>
    <t>Tổng chênh lệch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</si>
</sst>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164" fontId="1" fillId="3" borderId="1" xfId="0" applyNumberFormat="1" applyFont="1" applyFill="1" applyBorder="1" applyAlignment="1">
      <alignment vertical="center" wrapText="1"/>
    </xf>
    <xf numFmtId="165" fontId="1" fillId="3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wrapText="1"/>
    </xf>
    <xf numFmtId="0" fontId="1" fillId="2" borderId="1" xfId="0" applyFont="1" applyFill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4.5" x14ac:dyDescent="0.35"/>
  <cols>
    <col min="1" max="1" width="17" customWidth="1"/>
    <col min="2" max="2" width="12" customWidth="1"/>
    <col min="3" max="3" width="13" customWidth="1"/>
    <col min="4" max="4" width="10" customWidth="1"/>
    <col min="5" max="5" width="31" customWidth="1"/>
    <col min="6" max="6" width="20" customWidth="1"/>
    <col min="7" max="7" width="21" customWidth="1"/>
    <col min="8" max="10" width="10" customWidth="1"/>
    <col min="11" max="11" width="11" customWidth="1"/>
    <col min="12" max="12" width="10" customWidth="1"/>
    <col min="13" max="13" width="14" customWidth="1"/>
    <col min="14" max="14" width="20" customWidth="1"/>
    <col min="15" max="15" width="21" customWidth="1"/>
    <col min="16" max="16" width="22" customWidth="1"/>
    <col min="17" max="17" width="24" customWidth="1"/>
    <col min="18" max="18" width="15" customWidth="1"/>
    <col min="19" max="19" width="16" customWidth="1"/>
    <col min="20" max="21" width="14" customWidth="1"/>
    <col min="22" max="22" width="20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2" t="s">
        <v>22</v>
      </c>
      <c r="B2" s="2"/>
      <c r="C2" s="2" t="s">
        <v>23</v>
      </c>
      <c r="D2" s="2"/>
      <c r="E2" s="2" t="s">
        <v>24</v>
      </c>
      <c r="F2" s="2" t="s">
        <v>25</v>
      </c>
      <c r="G2" s="2" t="s">
        <v>26</v>
      </c>
      <c r="H2" s="2">
        <v>1</v>
      </c>
      <c r="I2" s="2" t="s">
        <v>27</v>
      </c>
      <c r="J2" s="3">
        <v>520</v>
      </c>
      <c r="K2" s="3">
        <v>30</v>
      </c>
      <c r="L2" s="3">
        <v>28</v>
      </c>
      <c r="M2" s="3">
        <v>1</v>
      </c>
      <c r="N2" s="2" t="s">
        <v>28</v>
      </c>
      <c r="O2" s="4">
        <v>0.436</v>
      </c>
      <c r="P2" s="4">
        <v>0.43680000000000002</v>
      </c>
      <c r="Q2" s="4">
        <v>8.0000000000002292E-4</v>
      </c>
      <c r="R2" s="2" t="s">
        <v>29</v>
      </c>
      <c r="S2" s="2" t="s">
        <v>30</v>
      </c>
      <c r="T2" s="2"/>
      <c r="U2" s="2" t="s">
        <v>31</v>
      </c>
      <c r="V2" s="2"/>
    </row>
    <row r="3" spans="1:22" x14ac:dyDescent="0.35">
      <c r="A3" s="2" t="s">
        <v>22</v>
      </c>
      <c r="B3" s="2"/>
      <c r="C3" s="2" t="s">
        <v>23</v>
      </c>
      <c r="D3" s="2"/>
      <c r="E3" s="2" t="s">
        <v>24</v>
      </c>
      <c r="F3" s="2" t="s">
        <v>25</v>
      </c>
      <c r="G3" s="2" t="s">
        <v>26</v>
      </c>
      <c r="H3" s="2">
        <v>2</v>
      </c>
      <c r="I3" s="2" t="s">
        <v>27</v>
      </c>
      <c r="J3" s="3">
        <v>400</v>
      </c>
      <c r="K3" s="3">
        <v>25</v>
      </c>
      <c r="L3" s="3">
        <v>25</v>
      </c>
      <c r="M3" s="3">
        <v>2</v>
      </c>
      <c r="N3" s="2" t="s">
        <v>32</v>
      </c>
      <c r="O3" s="4">
        <v>0.5</v>
      </c>
      <c r="P3" s="4">
        <v>0.5</v>
      </c>
      <c r="Q3" s="4">
        <v>0</v>
      </c>
      <c r="R3" s="2" t="s">
        <v>29</v>
      </c>
      <c r="S3" s="2" t="s">
        <v>33</v>
      </c>
      <c r="T3" s="2"/>
      <c r="U3" s="2" t="s">
        <v>34</v>
      </c>
      <c r="V3" s="2"/>
    </row>
    <row r="4" spans="1:22" x14ac:dyDescent="0.35">
      <c r="A4" s="2" t="s">
        <v>22</v>
      </c>
      <c r="B4" s="2"/>
      <c r="C4" s="2" t="s">
        <v>23</v>
      </c>
      <c r="D4" s="2"/>
      <c r="E4" s="2" t="s">
        <v>24</v>
      </c>
      <c r="F4" s="2" t="s">
        <v>25</v>
      </c>
      <c r="G4" s="2" t="s">
        <v>26</v>
      </c>
      <c r="H4" s="2">
        <v>3</v>
      </c>
      <c r="I4" s="2" t="s">
        <v>27</v>
      </c>
      <c r="J4" s="3">
        <v>120</v>
      </c>
      <c r="K4" s="3">
        <v>25</v>
      </c>
      <c r="L4" s="3">
        <v>25</v>
      </c>
      <c r="M4" s="3">
        <v>2</v>
      </c>
      <c r="N4" s="2" t="s">
        <v>35</v>
      </c>
      <c r="O4" s="4">
        <v>0.15</v>
      </c>
      <c r="P4" s="4">
        <v>0.15</v>
      </c>
      <c r="Q4" s="4">
        <v>0</v>
      </c>
      <c r="R4" s="2" t="s">
        <v>29</v>
      </c>
      <c r="S4" s="2" t="s">
        <v>36</v>
      </c>
      <c r="T4" s="2" t="s">
        <v>37</v>
      </c>
      <c r="U4" s="2" t="s">
        <v>38</v>
      </c>
      <c r="V4" s="2"/>
    </row>
    <row r="5" spans="1:22" x14ac:dyDescent="0.35">
      <c r="A5" s="2" t="s">
        <v>22</v>
      </c>
      <c r="B5" s="2"/>
      <c r="C5" s="2" t="s">
        <v>23</v>
      </c>
      <c r="D5" s="2"/>
      <c r="E5" s="2" t="s">
        <v>24</v>
      </c>
      <c r="F5" s="2" t="s">
        <v>25</v>
      </c>
      <c r="G5" s="2" t="s">
        <v>26</v>
      </c>
      <c r="H5" s="2">
        <v>4</v>
      </c>
      <c r="I5" s="2" t="s">
        <v>27</v>
      </c>
      <c r="J5" s="3">
        <v>300</v>
      </c>
      <c r="K5" s="3">
        <v>15</v>
      </c>
      <c r="L5" s="3">
        <v>12</v>
      </c>
      <c r="M5" s="3">
        <v>3</v>
      </c>
      <c r="N5" s="2" t="s">
        <v>39</v>
      </c>
      <c r="O5" s="4">
        <v>0.16200000000000001</v>
      </c>
      <c r="P5" s="4">
        <v>0.16200000000000001</v>
      </c>
      <c r="Q5" s="4">
        <v>0</v>
      </c>
      <c r="R5" s="2" t="s">
        <v>29</v>
      </c>
      <c r="S5" s="2" t="s">
        <v>36</v>
      </c>
      <c r="T5" s="2" t="s">
        <v>40</v>
      </c>
      <c r="U5" s="2" t="s">
        <v>41</v>
      </c>
      <c r="V5" s="2"/>
    </row>
    <row r="6" spans="1:22" x14ac:dyDescent="0.35">
      <c r="A6" s="2" t="s">
        <v>22</v>
      </c>
      <c r="B6" s="2"/>
      <c r="C6" s="2" t="s">
        <v>23</v>
      </c>
      <c r="D6" s="2"/>
      <c r="E6" s="2" t="s">
        <v>24</v>
      </c>
      <c r="F6" s="2" t="s">
        <v>25</v>
      </c>
      <c r="G6" s="2" t="s">
        <v>26</v>
      </c>
      <c r="H6" s="2">
        <v>5</v>
      </c>
      <c r="I6" s="2" t="s">
        <v>27</v>
      </c>
      <c r="J6" s="3">
        <v>60</v>
      </c>
      <c r="K6" s="3">
        <v>15</v>
      </c>
      <c r="L6" s="3">
        <v>12</v>
      </c>
      <c r="M6" s="3">
        <v>6</v>
      </c>
      <c r="N6" s="2" t="s">
        <v>42</v>
      </c>
      <c r="O6" s="4">
        <v>6.4000000000000001E-2</v>
      </c>
      <c r="P6" s="4">
        <v>6.4799999999999996E-2</v>
      </c>
      <c r="Q6" s="4">
        <v>7.9999999999999516E-4</v>
      </c>
      <c r="R6" s="2" t="s">
        <v>29</v>
      </c>
      <c r="S6" s="2" t="s">
        <v>36</v>
      </c>
      <c r="T6" s="2" t="s">
        <v>43</v>
      </c>
      <c r="U6" s="2" t="s">
        <v>41</v>
      </c>
      <c r="V6" s="2" t="s">
        <v>44</v>
      </c>
    </row>
    <row r="7" spans="1:22" x14ac:dyDescent="0.35">
      <c r="A7" s="2" t="s">
        <v>22</v>
      </c>
      <c r="B7" s="2"/>
      <c r="C7" s="2" t="s">
        <v>23</v>
      </c>
      <c r="D7" s="2"/>
      <c r="E7" s="2" t="s">
        <v>24</v>
      </c>
      <c r="F7" s="2" t="s">
        <v>25</v>
      </c>
      <c r="G7" s="2" t="s">
        <v>26</v>
      </c>
      <c r="H7" s="2">
        <v>6</v>
      </c>
      <c r="I7" s="2" t="s">
        <v>45</v>
      </c>
      <c r="J7" s="3">
        <v>70</v>
      </c>
      <c r="K7" s="3">
        <v>16</v>
      </c>
      <c r="L7" s="3">
        <v>16</v>
      </c>
      <c r="M7" s="3">
        <v>1</v>
      </c>
      <c r="N7" s="2" t="s">
        <v>46</v>
      </c>
      <c r="O7" s="4">
        <v>1.7000000000000001E-2</v>
      </c>
      <c r="P7" s="4">
        <v>1.7919999999999998E-2</v>
      </c>
      <c r="Q7" s="4">
        <v>9.1999999999999721E-4</v>
      </c>
      <c r="R7" s="2" t="s">
        <v>29</v>
      </c>
      <c r="S7" s="2" t="s">
        <v>47</v>
      </c>
      <c r="T7" s="2"/>
      <c r="U7" s="2" t="s">
        <v>48</v>
      </c>
      <c r="V7" s="2"/>
    </row>
    <row r="8" spans="1:22" x14ac:dyDescent="0.35">
      <c r="A8" s="2" t="s">
        <v>22</v>
      </c>
      <c r="B8" s="2"/>
      <c r="C8" s="2" t="s">
        <v>23</v>
      </c>
      <c r="D8" s="2"/>
      <c r="E8" s="2" t="s">
        <v>24</v>
      </c>
      <c r="F8" s="2" t="s">
        <v>25</v>
      </c>
      <c r="G8" s="2" t="s">
        <v>26</v>
      </c>
      <c r="H8" s="2">
        <v>7</v>
      </c>
      <c r="I8" s="2" t="s">
        <v>45</v>
      </c>
      <c r="J8" s="3">
        <v>115</v>
      </c>
      <c r="K8" s="3">
        <v>18</v>
      </c>
      <c r="L8" s="3">
        <v>18</v>
      </c>
      <c r="M8" s="3">
        <v>1</v>
      </c>
      <c r="N8" s="2" t="s">
        <v>49</v>
      </c>
      <c r="O8" s="4">
        <v>3.6999999999999998E-2</v>
      </c>
      <c r="P8" s="4">
        <v>3.7260000000000001E-2</v>
      </c>
      <c r="Q8" s="4">
        <v>2.6000000000000328E-4</v>
      </c>
      <c r="R8" s="2" t="s">
        <v>29</v>
      </c>
      <c r="S8" s="2" t="s">
        <v>50</v>
      </c>
      <c r="T8" s="2" t="s">
        <v>51</v>
      </c>
      <c r="U8" s="2" t="s">
        <v>52</v>
      </c>
      <c r="V8" s="2"/>
    </row>
    <row r="9" spans="1:22" x14ac:dyDescent="0.35">
      <c r="A9" s="2" t="s">
        <v>22</v>
      </c>
      <c r="B9" s="2"/>
      <c r="C9" s="2" t="s">
        <v>23</v>
      </c>
      <c r="D9" s="2"/>
      <c r="E9" s="2" t="s">
        <v>24</v>
      </c>
      <c r="F9" s="2" t="s">
        <v>25</v>
      </c>
      <c r="G9" s="2" t="s">
        <v>26</v>
      </c>
      <c r="H9" s="2">
        <v>8</v>
      </c>
      <c r="I9" s="2" t="s">
        <v>45</v>
      </c>
      <c r="J9" s="3">
        <v>250</v>
      </c>
      <c r="K9" s="3">
        <v>33</v>
      </c>
      <c r="L9" s="3">
        <v>22</v>
      </c>
      <c r="M9" s="3">
        <v>1</v>
      </c>
      <c r="N9" s="2" t="s">
        <v>53</v>
      </c>
      <c r="O9" s="4">
        <v>0.18099999999999999</v>
      </c>
      <c r="P9" s="4">
        <v>0.18149999999999999</v>
      </c>
      <c r="Q9" s="4">
        <v>5.0000000000000044E-4</v>
      </c>
      <c r="R9" s="2" t="s">
        <v>29</v>
      </c>
      <c r="S9" s="2" t="s">
        <v>47</v>
      </c>
      <c r="T9" s="2"/>
      <c r="U9" s="2" t="s">
        <v>54</v>
      </c>
      <c r="V9" s="2" t="s">
        <v>55</v>
      </c>
    </row>
    <row r="10" spans="1:22" x14ac:dyDescent="0.35">
      <c r="A10" s="2" t="s">
        <v>22</v>
      </c>
      <c r="B10" s="2"/>
      <c r="C10" s="2" t="s">
        <v>23</v>
      </c>
      <c r="D10" s="2"/>
      <c r="E10" s="2" t="s">
        <v>24</v>
      </c>
      <c r="F10" s="2" t="s">
        <v>25</v>
      </c>
      <c r="G10" s="2" t="s">
        <v>26</v>
      </c>
      <c r="H10" s="2">
        <v>9</v>
      </c>
      <c r="I10" s="2" t="s">
        <v>56</v>
      </c>
      <c r="J10" s="3">
        <v>320</v>
      </c>
      <c r="K10" s="3">
        <v>18</v>
      </c>
      <c r="L10" s="3">
        <v>18</v>
      </c>
      <c r="M10" s="3">
        <v>5</v>
      </c>
      <c r="N10" s="2" t="s">
        <v>57</v>
      </c>
      <c r="O10" s="4">
        <v>0.51800000000000002</v>
      </c>
      <c r="P10" s="4">
        <v>0.51839999999999997</v>
      </c>
      <c r="Q10" s="4">
        <v>3.9999999999995589E-4</v>
      </c>
      <c r="R10" s="2" t="s">
        <v>29</v>
      </c>
      <c r="S10" s="2" t="s">
        <v>58</v>
      </c>
      <c r="T10" s="2"/>
      <c r="U10" s="2" t="s">
        <v>59</v>
      </c>
      <c r="V10" s="2"/>
    </row>
    <row r="11" spans="1:22" x14ac:dyDescent="0.35">
      <c r="A11" s="2" t="s">
        <v>22</v>
      </c>
      <c r="B11" s="2"/>
      <c r="C11" s="2" t="s">
        <v>23</v>
      </c>
      <c r="D11" s="2"/>
      <c r="E11" s="2" t="s">
        <v>24</v>
      </c>
      <c r="F11" s="2" t="s">
        <v>25</v>
      </c>
      <c r="G11" s="2" t="s">
        <v>26</v>
      </c>
      <c r="H11" s="2">
        <v>10</v>
      </c>
      <c r="I11" s="2" t="s">
        <v>56</v>
      </c>
      <c r="J11" s="3">
        <v>320</v>
      </c>
      <c r="K11" s="3">
        <v>13</v>
      </c>
      <c r="L11" s="3">
        <v>11</v>
      </c>
      <c r="M11" s="3">
        <v>1</v>
      </c>
      <c r="N11" s="2" t="s">
        <v>60</v>
      </c>
      <c r="O11" s="4">
        <v>4.4999999999999998E-2</v>
      </c>
      <c r="P11" s="4">
        <v>4.5760000000000002E-2</v>
      </c>
      <c r="Q11" s="4">
        <v>7.6000000000000373E-4</v>
      </c>
      <c r="R11" s="2" t="s">
        <v>29</v>
      </c>
      <c r="S11" s="2" t="s">
        <v>61</v>
      </c>
      <c r="T11" s="2"/>
      <c r="U11" s="2" t="s">
        <v>41</v>
      </c>
      <c r="V11" s="2"/>
    </row>
    <row r="12" spans="1:22" x14ac:dyDescent="0.35">
      <c r="A12" s="2" t="s">
        <v>22</v>
      </c>
      <c r="B12" s="2"/>
      <c r="C12" s="2" t="s">
        <v>23</v>
      </c>
      <c r="D12" s="2"/>
      <c r="E12" s="2" t="s">
        <v>24</v>
      </c>
      <c r="F12" s="2" t="s">
        <v>25</v>
      </c>
      <c r="G12" s="2" t="s">
        <v>26</v>
      </c>
      <c r="H12" s="2">
        <v>11</v>
      </c>
      <c r="I12" s="2" t="s">
        <v>56</v>
      </c>
      <c r="J12" s="3">
        <v>320</v>
      </c>
      <c r="K12" s="3">
        <v>20</v>
      </c>
      <c r="L12" s="3">
        <v>4</v>
      </c>
      <c r="M12" s="3">
        <v>1</v>
      </c>
      <c r="N12" s="2" t="s">
        <v>62</v>
      </c>
      <c r="O12" s="4">
        <v>2.5000000000000001E-2</v>
      </c>
      <c r="P12" s="4">
        <v>2.5600000000000001E-2</v>
      </c>
      <c r="Q12" s="4">
        <v>5.9999999999999984E-4</v>
      </c>
      <c r="R12" s="2" t="s">
        <v>29</v>
      </c>
      <c r="S12" s="2" t="s">
        <v>36</v>
      </c>
      <c r="T12" s="2" t="s">
        <v>63</v>
      </c>
      <c r="U12" s="2" t="s">
        <v>64</v>
      </c>
      <c r="V12" s="2"/>
    </row>
    <row r="13" spans="1:22" x14ac:dyDescent="0.35">
      <c r="A13" s="2" t="s">
        <v>22</v>
      </c>
      <c r="B13" s="2"/>
      <c r="C13" s="2" t="s">
        <v>23</v>
      </c>
      <c r="D13" s="2"/>
      <c r="E13" s="2" t="s">
        <v>24</v>
      </c>
      <c r="F13" s="2" t="s">
        <v>25</v>
      </c>
      <c r="G13" s="2" t="s">
        <v>26</v>
      </c>
      <c r="H13" s="2">
        <v>12</v>
      </c>
      <c r="I13" s="2" t="s">
        <v>56</v>
      </c>
      <c r="J13" s="3">
        <v>320</v>
      </c>
      <c r="K13" s="3">
        <v>15</v>
      </c>
      <c r="L13" s="3">
        <v>4</v>
      </c>
      <c r="M13" s="3">
        <v>7</v>
      </c>
      <c r="N13" s="2" t="s">
        <v>65</v>
      </c>
      <c r="O13" s="4">
        <v>0.13400000000000001</v>
      </c>
      <c r="P13" s="4">
        <v>0.13439999999999999</v>
      </c>
      <c r="Q13" s="4">
        <v>3.999999999999837E-4</v>
      </c>
      <c r="R13" s="2" t="s">
        <v>29</v>
      </c>
      <c r="S13" s="2" t="s">
        <v>66</v>
      </c>
      <c r="T13" s="2"/>
      <c r="U13" s="2" t="s">
        <v>67</v>
      </c>
      <c r="V13" s="2" t="s">
        <v>68</v>
      </c>
    </row>
    <row r="14" spans="1:22" x14ac:dyDescent="0.35">
      <c r="A14" s="5" t="s">
        <v>69</v>
      </c>
      <c r="B14" s="5"/>
      <c r="C14" s="5"/>
      <c r="D14" s="5"/>
      <c r="E14" s="5"/>
      <c r="F14" s="5"/>
      <c r="G14" s="5"/>
      <c r="H14" s="5"/>
      <c r="I14" s="5"/>
      <c r="J14" s="6">
        <f>SUM(J2:J13)</f>
        <v>3115</v>
      </c>
      <c r="K14" s="6">
        <f>SUM(K2:K13)</f>
        <v>243</v>
      </c>
      <c r="L14" s="6">
        <f>SUM(L2:L13)</f>
        <v>195</v>
      </c>
      <c r="M14" s="6">
        <f>SUM(M2:M13)</f>
        <v>31</v>
      </c>
      <c r="N14" s="5"/>
      <c r="O14" s="7">
        <f>SUM(O2:O13)</f>
        <v>2.2689999999999992</v>
      </c>
      <c r="P14" s="7">
        <f>SUM(P2:P13)</f>
        <v>2.2744399999999994</v>
      </c>
      <c r="Q14" s="7">
        <f>SUM(Q2:Q13)</f>
        <v>5.4399999999999622E-3</v>
      </c>
      <c r="R14" s="5"/>
      <c r="S14" s="5"/>
      <c r="T14" s="5"/>
      <c r="U14" s="5"/>
      <c r="V14" s="5"/>
    </row>
  </sheetData>
  <autoFilter ref="A1:V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3" customWidth="1"/>
  </cols>
  <sheetData>
    <row r="1" spans="1:2" x14ac:dyDescent="0.35">
      <c r="A1" s="8" t="s">
        <v>70</v>
      </c>
      <c r="B1" s="8" t="s">
        <v>71</v>
      </c>
    </row>
    <row r="2" spans="1:2" x14ac:dyDescent="0.35">
      <c r="A2" s="9" t="s">
        <v>0</v>
      </c>
      <c r="B2" s="9" t="s">
        <v>22</v>
      </c>
    </row>
    <row r="3" spans="1:2" x14ac:dyDescent="0.35">
      <c r="A3" s="9" t="s">
        <v>1</v>
      </c>
      <c r="B3" s="9"/>
    </row>
    <row r="4" spans="1:2" x14ac:dyDescent="0.35">
      <c r="A4" s="9" t="s">
        <v>2</v>
      </c>
      <c r="B4" s="9" t="s">
        <v>23</v>
      </c>
    </row>
    <row r="5" spans="1:2" x14ac:dyDescent="0.35">
      <c r="A5" s="9" t="s">
        <v>3</v>
      </c>
      <c r="B5" s="9"/>
    </row>
    <row r="6" spans="1:2" x14ac:dyDescent="0.35">
      <c r="A6" s="9" t="s">
        <v>5</v>
      </c>
      <c r="B6" s="9" t="s">
        <v>25</v>
      </c>
    </row>
    <row r="7" spans="1:2" x14ac:dyDescent="0.35">
      <c r="A7" s="9" t="s">
        <v>72</v>
      </c>
      <c r="B7" s="9">
        <v>12</v>
      </c>
    </row>
    <row r="8" spans="1:2" x14ac:dyDescent="0.35">
      <c r="A8" s="9" t="s">
        <v>73</v>
      </c>
      <c r="B8" s="10">
        <f>SUM(CHI_TIET!O2:O13)</f>
        <v>2.2689999999999992</v>
      </c>
    </row>
    <row r="9" spans="1:2" x14ac:dyDescent="0.35">
      <c r="A9" s="9" t="s">
        <v>74</v>
      </c>
      <c r="B9" s="10">
        <f>SUM(CHI_TIET!P2:P13)</f>
        <v>2.2744399999999994</v>
      </c>
    </row>
    <row r="10" spans="1:2" x14ac:dyDescent="0.35">
      <c r="A10" s="9" t="s">
        <v>75</v>
      </c>
      <c r="B10" s="10">
        <f>SUM(CHI_TIET!Q2:Q13)</f>
        <v>5.4399999999999622E-3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3" customWidth="1"/>
    <col min="3" max="3" width="21" customWidth="1"/>
    <col min="4" max="4" width="22" customWidth="1"/>
    <col min="5" max="5" width="23" customWidth="1"/>
  </cols>
  <sheetData>
    <row r="1" spans="1:5" x14ac:dyDescent="0.35">
      <c r="A1" s="11" t="s">
        <v>8</v>
      </c>
      <c r="B1" s="11" t="s">
        <v>76</v>
      </c>
      <c r="C1" s="11" t="s">
        <v>14</v>
      </c>
      <c r="D1" s="11" t="s">
        <v>15</v>
      </c>
      <c r="E1" s="11" t="s">
        <v>16</v>
      </c>
    </row>
    <row r="2" spans="1:5" x14ac:dyDescent="0.35">
      <c r="A2" s="12" t="s">
        <v>27</v>
      </c>
      <c r="B2" s="12">
        <v>14</v>
      </c>
      <c r="C2" s="13">
        <v>1.3120000000000001</v>
      </c>
      <c r="D2" s="13">
        <v>1.3136000000000001</v>
      </c>
      <c r="E2" s="13">
        <v>1.600000000000046E-3</v>
      </c>
    </row>
    <row r="3" spans="1:5" x14ac:dyDescent="0.35">
      <c r="A3" s="12" t="s">
        <v>45</v>
      </c>
      <c r="B3" s="12">
        <v>3</v>
      </c>
      <c r="C3" s="13">
        <v>0.23499999999999999</v>
      </c>
      <c r="D3" s="13">
        <v>0.23668</v>
      </c>
      <c r="E3" s="13">
        <v>1.680000000000015E-3</v>
      </c>
    </row>
    <row r="4" spans="1:5" x14ac:dyDescent="0.35">
      <c r="A4" s="12" t="s">
        <v>56</v>
      </c>
      <c r="B4" s="12">
        <v>14</v>
      </c>
      <c r="C4" s="13">
        <v>0.72200000000000009</v>
      </c>
      <c r="D4" s="13">
        <v>0.72415999999999991</v>
      </c>
      <c r="E4" s="13">
        <v>2.1599999999998292E-3</v>
      </c>
    </row>
    <row r="5" spans="1:5" x14ac:dyDescent="0.35">
      <c r="A5" s="12" t="s">
        <v>69</v>
      </c>
      <c r="B5" s="12">
        <f>SUM(B2:B4)</f>
        <v>31</v>
      </c>
      <c r="C5" s="13">
        <f>SUM(C2:C4)</f>
        <v>2.2690000000000001</v>
      </c>
      <c r="D5" s="13">
        <f>SUM(D2:D4)</f>
        <v>2.2744400000000002</v>
      </c>
      <c r="E5" s="13">
        <f>SUM(E2:E4)</f>
        <v>5.4399999999998902E-3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3" width="16" customWidth="1"/>
    <col min="4" max="4" width="10" customWidth="1"/>
    <col min="5" max="5" width="11" customWidth="1"/>
    <col min="6" max="7" width="10" customWidth="1"/>
    <col min="8" max="8" width="16" customWidth="1"/>
    <col min="9" max="9" width="17" customWidth="1"/>
    <col min="10" max="10" width="12" customWidth="1"/>
    <col min="11" max="11" width="19" customWidth="1"/>
  </cols>
  <sheetData>
    <row r="1" spans="1:11" x14ac:dyDescent="0.35">
      <c r="A1" s="8" t="s">
        <v>7</v>
      </c>
      <c r="B1" s="8" t="s">
        <v>8</v>
      </c>
      <c r="C1" s="8" t="s">
        <v>77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78</v>
      </c>
      <c r="I1" s="8" t="s">
        <v>79</v>
      </c>
      <c r="J1" s="8" t="s">
        <v>80</v>
      </c>
      <c r="K1" s="8" t="s">
        <v>81</v>
      </c>
    </row>
    <row r="2" spans="1:11" ht="29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23" customWidth="1"/>
  </cols>
  <sheetData>
    <row r="1" spans="1:2" x14ac:dyDescent="0.35">
      <c r="A1" s="11" t="s">
        <v>83</v>
      </c>
      <c r="B1" s="11" t="s">
        <v>71</v>
      </c>
    </row>
    <row r="2" spans="1:2" x14ac:dyDescent="0.35">
      <c r="A2" s="12" t="s">
        <v>84</v>
      </c>
      <c r="B2" s="12">
        <v>12</v>
      </c>
    </row>
    <row r="3" spans="1:2" x14ac:dyDescent="0.35">
      <c r="A3" s="12" t="s">
        <v>85</v>
      </c>
      <c r="B3" s="12">
        <v>12</v>
      </c>
    </row>
    <row r="4" spans="1:2" x14ac:dyDescent="0.35">
      <c r="A4" s="12" t="s">
        <v>86</v>
      </c>
      <c r="B4" s="12">
        <v>0</v>
      </c>
    </row>
    <row r="5" spans="1:2" x14ac:dyDescent="0.35">
      <c r="A5" s="12" t="s">
        <v>87</v>
      </c>
      <c r="B5" s="12">
        <f>SUM(CHI_TIET!O2:O13)</f>
        <v>2.2689999999999992</v>
      </c>
    </row>
    <row r="6" spans="1:2" x14ac:dyDescent="0.35">
      <c r="A6" s="12" t="s">
        <v>88</v>
      </c>
      <c r="B6" s="12">
        <f>SUM(CHI_TIET!P2:P13)</f>
        <v>2.2744399999999994</v>
      </c>
    </row>
    <row r="7" spans="1:2" x14ac:dyDescent="0.35">
      <c r="A7" s="12" t="s">
        <v>89</v>
      </c>
      <c r="B7" s="12">
        <f>SUM(CHI_TIET!Q2:Q13)</f>
        <v>5.4399999999999622E-3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CHI_TIET</vt:lpstr>
      <vt:lpstr>TONG_HOP</vt:lpstr>
      <vt:lpstr>THEO_NGAY</vt:lpstr>
      <vt:lpstr>CANH_BAO</vt:lpstr>
      <vt:lpstr>THONG_KE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Dao Nguyen Quang</cp:lastModifiedBy>
  <dcterms:created xsi:type="dcterms:W3CDTF">2026-09-15T10:40:52Z</dcterms:created>
  <dcterms:modified xsi:type="dcterms:W3CDTF">2026-09-15T10:50:36Z</dcterms:modified>
</cp:coreProperties>
</file>